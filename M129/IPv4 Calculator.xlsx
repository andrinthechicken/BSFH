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Projects\TeachingRepos\m129\50_IPv4\"/>
    </mc:Choice>
  </mc:AlternateContent>
  <xr:revisionPtr revIDLastSave="0" documentId="13_ncr:1_{1EC293F7-3008-4394-8A62-57E0BA1FF126}" xr6:coauthVersionLast="47" xr6:coauthVersionMax="47" xr10:uidLastSave="{00000000-0000-0000-0000-000000000000}"/>
  <bookViews>
    <workbookView xWindow="-120" yWindow="-120" windowWidth="29040" windowHeight="15840" xr2:uid="{D90DAC42-098B-40A4-A1CC-26DE1BC1F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5" i="1" l="1"/>
  <c r="AG35" i="1"/>
  <c r="AF35" i="1"/>
  <c r="AE35" i="1"/>
  <c r="AD35" i="1"/>
  <c r="AC35" i="1"/>
  <c r="AB35" i="1"/>
  <c r="AA35" i="1"/>
  <c r="R33" i="1"/>
  <c r="Q33" i="1"/>
  <c r="P33" i="1"/>
  <c r="O33" i="1"/>
  <c r="N33" i="1"/>
  <c r="M33" i="1"/>
  <c r="L33" i="1"/>
  <c r="K33" i="1"/>
  <c r="R35" i="1"/>
  <c r="Q35" i="1"/>
  <c r="P35" i="1"/>
  <c r="O35" i="1"/>
  <c r="N35" i="1"/>
  <c r="M35" i="1"/>
  <c r="L35" i="1"/>
  <c r="K35" i="1"/>
  <c r="R31" i="1"/>
  <c r="Q31" i="1"/>
  <c r="P31" i="1"/>
  <c r="O31" i="1"/>
  <c r="N31" i="1"/>
  <c r="M31" i="1"/>
  <c r="L31" i="1"/>
  <c r="K31" i="1"/>
  <c r="R29" i="1"/>
  <c r="Q29" i="1"/>
  <c r="P29" i="1"/>
  <c r="O29" i="1"/>
  <c r="N29" i="1"/>
  <c r="M29" i="1"/>
  <c r="L29" i="1"/>
  <c r="K29" i="1"/>
  <c r="R27" i="1"/>
  <c r="Q27" i="1"/>
  <c r="P27" i="1"/>
  <c r="O27" i="1"/>
  <c r="N27" i="1"/>
  <c r="M27" i="1"/>
  <c r="L27" i="1"/>
  <c r="K27" i="1"/>
  <c r="R25" i="1"/>
  <c r="Q25" i="1"/>
  <c r="P25" i="1"/>
  <c r="O25" i="1"/>
  <c r="N25" i="1"/>
  <c r="M25" i="1"/>
  <c r="L25" i="1"/>
  <c r="K25" i="1"/>
  <c r="R23" i="1"/>
  <c r="Q23" i="1"/>
  <c r="P23" i="1"/>
  <c r="O23" i="1"/>
  <c r="N23" i="1"/>
  <c r="M23" i="1"/>
  <c r="L23" i="1"/>
  <c r="K23" i="1"/>
  <c r="R21" i="1"/>
  <c r="Q21" i="1"/>
  <c r="P21" i="1"/>
  <c r="O21" i="1"/>
  <c r="N21" i="1"/>
  <c r="M21" i="1"/>
  <c r="L21" i="1"/>
  <c r="K21" i="1"/>
  <c r="R19" i="1"/>
  <c r="Q19" i="1"/>
  <c r="P19" i="1"/>
  <c r="O19" i="1"/>
  <c r="N19" i="1"/>
  <c r="M19" i="1"/>
  <c r="L19" i="1"/>
  <c r="K19" i="1"/>
  <c r="AH33" i="1"/>
  <c r="AG33" i="1"/>
  <c r="AF33" i="1"/>
  <c r="AE33" i="1"/>
  <c r="AD33" i="1"/>
  <c r="AC33" i="1"/>
  <c r="AB33" i="1"/>
  <c r="AA33" i="1"/>
  <c r="AB21" i="1"/>
  <c r="AH31" i="1"/>
  <c r="AG31" i="1"/>
  <c r="AF31" i="1"/>
  <c r="AE31" i="1"/>
  <c r="AD31" i="1"/>
  <c r="AC31" i="1"/>
  <c r="AB31" i="1"/>
  <c r="AA31" i="1"/>
  <c r="AH29" i="1"/>
  <c r="AG29" i="1"/>
  <c r="AF29" i="1"/>
  <c r="AE29" i="1"/>
  <c r="AD29" i="1"/>
  <c r="AC29" i="1"/>
  <c r="AB29" i="1"/>
  <c r="AA29" i="1"/>
  <c r="AH27" i="1"/>
  <c r="AG27" i="1"/>
  <c r="AF27" i="1"/>
  <c r="AE27" i="1"/>
  <c r="AD27" i="1"/>
  <c r="AC27" i="1"/>
  <c r="AB27" i="1"/>
  <c r="AA27" i="1"/>
  <c r="AH25" i="1"/>
  <c r="AG25" i="1"/>
  <c r="AF25" i="1"/>
  <c r="AE25" i="1"/>
  <c r="AD25" i="1"/>
  <c r="AC25" i="1"/>
  <c r="AB25" i="1"/>
  <c r="AA25" i="1"/>
  <c r="AH23" i="1"/>
  <c r="AG23" i="1"/>
  <c r="AF23" i="1"/>
  <c r="AE23" i="1"/>
  <c r="AD23" i="1"/>
  <c r="AC23" i="1"/>
  <c r="AB23" i="1"/>
  <c r="AA23" i="1"/>
  <c r="AH21" i="1"/>
  <c r="AG21" i="1"/>
  <c r="AF21" i="1"/>
  <c r="AE21" i="1"/>
  <c r="AD21" i="1"/>
  <c r="AC21" i="1"/>
  <c r="AA21" i="1"/>
  <c r="AH19" i="1"/>
  <c r="AG19" i="1"/>
  <c r="AF19" i="1"/>
  <c r="AE19" i="1"/>
  <c r="AD19" i="1"/>
  <c r="AC19" i="1"/>
  <c r="AB19" i="1"/>
  <c r="AA19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7" i="1"/>
  <c r="AC8" i="1" s="1"/>
  <c r="AC14" i="1" s="1"/>
  <c r="S7" i="1"/>
  <c r="U8" i="1" s="1"/>
  <c r="K7" i="1"/>
  <c r="M8" i="1" s="1"/>
  <c r="C7" i="1"/>
  <c r="E8" i="1" s="1"/>
  <c r="F8" i="1" l="1"/>
  <c r="G8" i="1"/>
  <c r="AD8" i="1"/>
  <c r="AD14" i="1" s="1"/>
  <c r="AE8" i="1"/>
  <c r="AE14" i="1" s="1"/>
  <c r="U11" i="1"/>
  <c r="U14" i="1"/>
  <c r="W11" i="1"/>
  <c r="M11" i="1"/>
  <c r="M14" i="1"/>
  <c r="W8" i="1"/>
  <c r="W14" i="1" s="1"/>
  <c r="F11" i="1"/>
  <c r="F14" i="1" s="1"/>
  <c r="H8" i="1"/>
  <c r="P8" i="1"/>
  <c r="X8" i="1"/>
  <c r="AF8" i="1"/>
  <c r="Q8" i="1"/>
  <c r="Q11" i="1" s="1"/>
  <c r="AG8" i="1"/>
  <c r="AG14" i="1" s="1"/>
  <c r="J8" i="1"/>
  <c r="R8" i="1"/>
  <c r="Z8" i="1"/>
  <c r="AH8" i="1"/>
  <c r="N8" i="1"/>
  <c r="N11" i="1" s="1"/>
  <c r="O8" i="1"/>
  <c r="I8" i="1"/>
  <c r="I11" i="1" s="1"/>
  <c r="C8" i="1"/>
  <c r="K8" i="1"/>
  <c r="S8" i="1"/>
  <c r="S14" i="1" s="1"/>
  <c r="AA8" i="1"/>
  <c r="AA14" i="1" s="1"/>
  <c r="V8" i="1"/>
  <c r="V14" i="1" s="1"/>
  <c r="G11" i="1"/>
  <c r="G14" i="1" s="1"/>
  <c r="Y8" i="1"/>
  <c r="Y14" i="1" s="1"/>
  <c r="J11" i="1"/>
  <c r="D8" i="1"/>
  <c r="D11" i="1" s="1"/>
  <c r="L8" i="1"/>
  <c r="L11" i="1" s="1"/>
  <c r="T8" i="1"/>
  <c r="AB8" i="1"/>
  <c r="AB14" i="1" s="1"/>
  <c r="AC11" i="1"/>
  <c r="E11" i="1"/>
  <c r="E14" i="1" s="1"/>
  <c r="K11" i="1"/>
  <c r="V11" i="1" l="1"/>
  <c r="AD11" i="1"/>
  <c r="AE11" i="1"/>
  <c r="R11" i="1"/>
  <c r="R14" i="1" s="1"/>
  <c r="AG11" i="1"/>
  <c r="S11" i="1"/>
  <c r="J14" i="1"/>
  <c r="I14" i="1"/>
  <c r="O14" i="1"/>
  <c r="C11" i="1"/>
  <c r="C14" i="1" s="1"/>
  <c r="T11" i="1"/>
  <c r="T14" i="1"/>
  <c r="S13" i="1" s="1"/>
  <c r="N14" i="1"/>
  <c r="AF14" i="1"/>
  <c r="AF11" i="1"/>
  <c r="O11" i="1"/>
  <c r="Q14" i="1"/>
  <c r="L14" i="1"/>
  <c r="AA13" i="1"/>
  <c r="X14" i="1"/>
  <c r="X11" i="1"/>
  <c r="Y11" i="1"/>
  <c r="D14" i="1"/>
  <c r="AH14" i="1"/>
  <c r="AH11" i="1"/>
  <c r="P11" i="1"/>
  <c r="P14" i="1" s="1"/>
  <c r="AA11" i="1"/>
  <c r="AB11" i="1"/>
  <c r="K14" i="1"/>
  <c r="Z14" i="1"/>
  <c r="Z11" i="1"/>
  <c r="H11" i="1"/>
  <c r="H14" i="1" s="1"/>
  <c r="C13" i="1" l="1"/>
  <c r="K10" i="1"/>
  <c r="K13" i="1"/>
  <c r="AA10" i="1"/>
  <c r="S10" i="1"/>
  <c r="C10" i="1"/>
</calcChain>
</file>

<file path=xl/sharedStrings.xml><?xml version="1.0" encoding="utf-8"?>
<sst xmlns="http://schemas.openxmlformats.org/spreadsheetml/2006/main" count="5" uniqueCount="5">
  <si>
    <t>Netzmaske</t>
  </si>
  <si>
    <t>Netzadresse</t>
  </si>
  <si>
    <t>Broadcast</t>
  </si>
  <si>
    <t xml:space="preserve">Aus einer IPv4-Adresse und Netzmaske kann die Netz- und die Broadcast-Adresse berechnet werden. </t>
  </si>
  <si>
    <t>IPv4-Adresse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</si>
</sst>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3EA6-147D-48B9-8779-B041ABD0D37D}">
  <dimension ref="A2:AH35"/>
  <sheetViews>
    <sheetView tabSelected="1" topLeftCell="A16" zoomScale="130" zoomScaleNormal="130" workbookViewId="0">
      <selection activeCell="AK33" sqref="AK33"/>
    </sheetView>
  </sheetViews>
  <sheetFormatPr defaultRowHeight="15" x14ac:dyDescent="0.25"/>
  <cols>
    <col min="1" max="1" width="12" customWidth="1"/>
    <col min="2" max="2" width="10.140625" customWidth="1"/>
    <col min="3" max="34" width="2.7109375" customWidth="1"/>
  </cols>
  <sheetData>
    <row r="2" spans="1:34" x14ac:dyDescent="0.25">
      <c r="C2" s="7" t="s">
        <v>3</v>
      </c>
    </row>
    <row r="4" spans="1:34" x14ac:dyDescent="0.25">
      <c r="A4" t="s">
        <v>4</v>
      </c>
      <c r="C4" s="12">
        <v>192</v>
      </c>
      <c r="D4" s="13"/>
      <c r="E4" s="13"/>
      <c r="F4" s="13"/>
      <c r="G4" s="13"/>
      <c r="H4" s="13"/>
      <c r="I4" s="13"/>
      <c r="J4" s="13"/>
      <c r="K4" s="12">
        <v>168</v>
      </c>
      <c r="L4" s="13"/>
      <c r="M4" s="13"/>
      <c r="N4" s="13"/>
      <c r="O4" s="13"/>
      <c r="P4" s="13"/>
      <c r="Q4" s="13"/>
      <c r="R4" s="13"/>
      <c r="S4" s="12">
        <v>100</v>
      </c>
      <c r="T4" s="13"/>
      <c r="U4" s="13"/>
      <c r="V4" s="13"/>
      <c r="W4" s="13"/>
      <c r="X4" s="13"/>
      <c r="Y4" s="13"/>
      <c r="Z4" s="13"/>
      <c r="AA4" s="12">
        <v>1</v>
      </c>
      <c r="AB4" s="13"/>
      <c r="AC4" s="13"/>
      <c r="AD4" s="13"/>
      <c r="AE4" s="13"/>
      <c r="AF4" s="13"/>
      <c r="AG4" s="13"/>
      <c r="AH4" s="14"/>
    </row>
    <row r="5" spans="1:34" x14ac:dyDescent="0.25">
      <c r="C5" s="1">
        <f>INT(MID(DEC2BIN($C4,8),1,1))</f>
        <v>1</v>
      </c>
      <c r="D5" s="2">
        <f>INT(MID(DEC2BIN($C4,8),2,1))</f>
        <v>1</v>
      </c>
      <c r="E5" s="2">
        <f>INT(MID(DEC2BIN($C4,8),3,1))</f>
        <v>0</v>
      </c>
      <c r="F5" s="2">
        <f>INT(MID(DEC2BIN($C4,8),4,1))</f>
        <v>0</v>
      </c>
      <c r="G5" s="2">
        <f>INT(MID(DEC2BIN($C4,8),5,1))</f>
        <v>0</v>
      </c>
      <c r="H5" s="2">
        <f>INT(MID(DEC2BIN($C4,8),6,1))</f>
        <v>0</v>
      </c>
      <c r="I5" s="2">
        <f>INT(MID(DEC2BIN($C4,8),7,1))</f>
        <v>0</v>
      </c>
      <c r="J5" s="2">
        <f>INT(MID(DEC2BIN($C4,8),8,1))</f>
        <v>0</v>
      </c>
      <c r="K5" s="1">
        <f>INT(MID(DEC2BIN($K4,8),1,1))</f>
        <v>1</v>
      </c>
      <c r="L5" s="2">
        <f>INT(MID(DEC2BIN($K4,8),2,1))</f>
        <v>0</v>
      </c>
      <c r="M5" s="2">
        <f>INT(MID(DEC2BIN($K4,8),3,1))</f>
        <v>1</v>
      </c>
      <c r="N5" s="2">
        <f>INT(MID(DEC2BIN($K4,8),4,1))</f>
        <v>0</v>
      </c>
      <c r="O5" s="2">
        <f>INT(MID(DEC2BIN($K4,8),5,1))</f>
        <v>1</v>
      </c>
      <c r="P5" s="2">
        <f>INT(MID(DEC2BIN($K4,8),6,1))</f>
        <v>0</v>
      </c>
      <c r="Q5" s="2">
        <f>INT(MID(DEC2BIN($K4,8),7,1))</f>
        <v>0</v>
      </c>
      <c r="R5" s="2">
        <f>INT(MID(DEC2BIN($K4,8),8,1))</f>
        <v>0</v>
      </c>
      <c r="S5" s="1">
        <f>INT(MID(DEC2BIN($S4,8),1,1))</f>
        <v>0</v>
      </c>
      <c r="T5" s="2">
        <f>INT(MID(DEC2BIN($S4,8),2,1))</f>
        <v>1</v>
      </c>
      <c r="U5" s="2">
        <f>INT(MID(DEC2BIN($S4,8),3,1))</f>
        <v>1</v>
      </c>
      <c r="V5" s="2">
        <f>INT(MID(DEC2BIN($S4,8),4,1))</f>
        <v>0</v>
      </c>
      <c r="W5" s="2">
        <f>INT(MID(DEC2BIN($S4,8),5,1))</f>
        <v>0</v>
      </c>
      <c r="X5" s="2">
        <f>INT(MID(DEC2BIN($S4,8),6,1))</f>
        <v>1</v>
      </c>
      <c r="Y5" s="2">
        <f>INT(MID(DEC2BIN($S4,8),7,1))</f>
        <v>0</v>
      </c>
      <c r="Z5" s="2">
        <f>INT(MID(DEC2BIN($S4,8),8,1))</f>
        <v>0</v>
      </c>
      <c r="AA5" s="1">
        <f>INT(MID(DEC2BIN($AA4,8),1,1))</f>
        <v>0</v>
      </c>
      <c r="AB5" s="2">
        <f>INT(MID(DEC2BIN($AA4,8),2,1))</f>
        <v>0</v>
      </c>
      <c r="AC5" s="2">
        <f>INT(MID(DEC2BIN($AA4,8),3,1))</f>
        <v>0</v>
      </c>
      <c r="AD5" s="2">
        <f>INT(MID(DEC2BIN($AA4,8),4,1))</f>
        <v>0</v>
      </c>
      <c r="AE5" s="2">
        <f>INT(MID(DEC2BIN($AA4,8),5,1))</f>
        <v>0</v>
      </c>
      <c r="AF5" s="2">
        <f>INT(MID(DEC2BIN($AA4,8),6,1))</f>
        <v>0</v>
      </c>
      <c r="AG5" s="2">
        <f>INT(MID(DEC2BIN($AA4,8),7,1))</f>
        <v>0</v>
      </c>
      <c r="AH5" s="5">
        <f>INT(MID(DEC2BIN($AA4,8),8,1))</f>
        <v>1</v>
      </c>
    </row>
    <row r="6" spans="1:34" x14ac:dyDescent="0.25">
      <c r="C6" s="3"/>
      <c r="D6" s="4"/>
      <c r="E6" s="4"/>
      <c r="F6" s="4"/>
      <c r="G6" s="4"/>
      <c r="H6" s="4"/>
      <c r="I6" s="4"/>
      <c r="J6" s="4"/>
      <c r="K6" s="3"/>
      <c r="L6" s="4"/>
      <c r="M6" s="4"/>
      <c r="N6" s="4"/>
      <c r="O6" s="4"/>
      <c r="P6" s="4"/>
      <c r="Q6" s="4"/>
      <c r="R6" s="4"/>
      <c r="S6" s="3"/>
      <c r="T6" s="4"/>
      <c r="U6" s="4"/>
      <c r="V6" s="4"/>
      <c r="W6" s="4"/>
      <c r="X6" s="4"/>
      <c r="Y6" s="4"/>
      <c r="Z6" s="4"/>
      <c r="AA6" s="3"/>
      <c r="AB6" s="4"/>
      <c r="AC6" s="4"/>
      <c r="AD6" s="4"/>
      <c r="AE6" s="4"/>
      <c r="AF6" s="4"/>
      <c r="AG6" s="4"/>
      <c r="AH6" s="6"/>
    </row>
    <row r="7" spans="1:34" x14ac:dyDescent="0.25">
      <c r="A7" t="s">
        <v>0</v>
      </c>
      <c r="B7">
        <v>16</v>
      </c>
      <c r="C7" s="12">
        <f>POWER(2,8-(MIN(8,MAX(0,B7-8*0))+1))*(POWER(2,(MIN(8,MAX(0,B7-8*0))+1))-2)</f>
        <v>255</v>
      </c>
      <c r="D7" s="13"/>
      <c r="E7" s="13"/>
      <c r="F7" s="13"/>
      <c r="G7" s="13"/>
      <c r="H7" s="13"/>
      <c r="I7" s="13"/>
      <c r="J7" s="13"/>
      <c r="K7" s="12">
        <f>POWER(2,8-(MIN(8,MAX(0,B7-8*1))+1))*(POWER(2,(MIN(8,MAX(0,B7-8*1))+1))-2)</f>
        <v>255</v>
      </c>
      <c r="L7" s="13"/>
      <c r="M7" s="13"/>
      <c r="N7" s="13"/>
      <c r="O7" s="13"/>
      <c r="P7" s="13"/>
      <c r="Q7" s="13"/>
      <c r="R7" s="13"/>
      <c r="S7" s="12">
        <f>POWER(2,8-(MIN(8,MAX(0,B7-8*2))+1))*(POWER(2,(MIN(8,MAX(0,B7-8*2))+1))-2)</f>
        <v>0</v>
      </c>
      <c r="T7" s="13"/>
      <c r="U7" s="13"/>
      <c r="V7" s="13"/>
      <c r="W7" s="13"/>
      <c r="X7" s="13"/>
      <c r="Y7" s="13"/>
      <c r="Z7" s="13"/>
      <c r="AA7" s="12">
        <f>POWER(2,8-(MIN(8,MAX(0,B7-8*3))+1))*(POWER(2,(MIN(8,MAX(0,B7-8*3))+1))-2)</f>
        <v>0</v>
      </c>
      <c r="AB7" s="13"/>
      <c r="AC7" s="13"/>
      <c r="AD7" s="13"/>
      <c r="AE7" s="13"/>
      <c r="AF7" s="13"/>
      <c r="AG7" s="13"/>
      <c r="AH7" s="14"/>
    </row>
    <row r="8" spans="1:34" x14ac:dyDescent="0.25">
      <c r="C8" s="1">
        <f>INT(MID(DEC2BIN($C7,8),1,1))</f>
        <v>1</v>
      </c>
      <c r="D8" s="2">
        <f>INT(MID(DEC2BIN($C7,8),2,1))</f>
        <v>1</v>
      </c>
      <c r="E8" s="2">
        <f>INT(MID(DEC2BIN($C7,8),3,1))</f>
        <v>1</v>
      </c>
      <c r="F8" s="2">
        <f>INT(MID(DEC2BIN($C7,8),4,1))</f>
        <v>1</v>
      </c>
      <c r="G8" s="2">
        <f>INT(MID(DEC2BIN($C7,8),5,1))</f>
        <v>1</v>
      </c>
      <c r="H8" s="2">
        <f>INT(MID(DEC2BIN($C7,8),6,1))</f>
        <v>1</v>
      </c>
      <c r="I8" s="2">
        <f>INT(MID(DEC2BIN($C7,8),7,1))</f>
        <v>1</v>
      </c>
      <c r="J8" s="2">
        <f>INT(MID(DEC2BIN($C7,8),8,1))</f>
        <v>1</v>
      </c>
      <c r="K8" s="1">
        <f>INT(MID(DEC2BIN($K7,8),1,1))</f>
        <v>1</v>
      </c>
      <c r="L8" s="2">
        <f>INT(MID(DEC2BIN($K7,8),2,1))</f>
        <v>1</v>
      </c>
      <c r="M8" s="2">
        <f>INT(MID(DEC2BIN($K7,8),3,1))</f>
        <v>1</v>
      </c>
      <c r="N8" s="2">
        <f>INT(MID(DEC2BIN($K7,8),4,1))</f>
        <v>1</v>
      </c>
      <c r="O8" s="2">
        <f>INT(MID(DEC2BIN($K7,8),5,1))</f>
        <v>1</v>
      </c>
      <c r="P8" s="2">
        <f>INT(MID(DEC2BIN($K7,8),6,1))</f>
        <v>1</v>
      </c>
      <c r="Q8" s="2">
        <f>INT(MID(DEC2BIN($K7,8),7,1))</f>
        <v>1</v>
      </c>
      <c r="R8" s="2">
        <f>INT(MID(DEC2BIN($K7,8),8,1))</f>
        <v>1</v>
      </c>
      <c r="S8" s="1">
        <f>INT(MID(DEC2BIN($S7,8),1,1))</f>
        <v>0</v>
      </c>
      <c r="T8" s="2">
        <f>INT(MID(DEC2BIN($S7,8),2,1))</f>
        <v>0</v>
      </c>
      <c r="U8" s="2">
        <f>INT(MID(DEC2BIN($S7,8),3,1))</f>
        <v>0</v>
      </c>
      <c r="V8" s="2">
        <f>INT(MID(DEC2BIN($S7,8),4,1))</f>
        <v>0</v>
      </c>
      <c r="W8" s="2">
        <f>INT(MID(DEC2BIN($S7,8),5,1))</f>
        <v>0</v>
      </c>
      <c r="X8" s="2">
        <f>INT(MID(DEC2BIN($S7,8),6,1))</f>
        <v>0</v>
      </c>
      <c r="Y8" s="2">
        <f>INT(MID(DEC2BIN($S7,8),7,1))</f>
        <v>0</v>
      </c>
      <c r="Z8" s="2">
        <f>INT(MID(DEC2BIN($S7,8),8,1))</f>
        <v>0</v>
      </c>
      <c r="AA8" s="1">
        <f>INT(MID(DEC2BIN($AA7,8),1,1))</f>
        <v>0</v>
      </c>
      <c r="AB8" s="2">
        <f>INT(MID(DEC2BIN($AA7,8),2,1))</f>
        <v>0</v>
      </c>
      <c r="AC8" s="2">
        <f>INT(MID(DEC2BIN($AA7,8),3,1))</f>
        <v>0</v>
      </c>
      <c r="AD8" s="2">
        <f>INT(MID(DEC2BIN($AA7,8),4,1))</f>
        <v>0</v>
      </c>
      <c r="AE8" s="2">
        <f>INT(MID(DEC2BIN($AA7,8),5,1))</f>
        <v>0</v>
      </c>
      <c r="AF8" s="2">
        <f>INT(MID(DEC2BIN($AA7,8),6,1))</f>
        <v>0</v>
      </c>
      <c r="AG8" s="2">
        <f>INT(MID(DEC2BIN($AA7,8),7,1))</f>
        <v>0</v>
      </c>
      <c r="AH8" s="5">
        <f>INT(MID(DEC2BIN($AA7,8),8,1))</f>
        <v>0</v>
      </c>
    </row>
    <row r="9" spans="1:34" x14ac:dyDescent="0.25">
      <c r="C9" s="3"/>
      <c r="D9" s="4"/>
      <c r="E9" s="4"/>
      <c r="F9" s="4"/>
      <c r="G9" s="4"/>
      <c r="H9" s="4"/>
      <c r="I9" s="4"/>
      <c r="J9" s="4"/>
      <c r="K9" s="3"/>
      <c r="L9" s="4"/>
      <c r="M9" s="4"/>
      <c r="N9" s="4"/>
      <c r="O9" s="4"/>
      <c r="P9" s="4"/>
      <c r="Q9" s="4"/>
      <c r="R9" s="4"/>
      <c r="S9" s="3"/>
      <c r="T9" s="4"/>
      <c r="U9" s="4"/>
      <c r="V9" s="4"/>
      <c r="W9" s="4"/>
      <c r="X9" s="4"/>
      <c r="Y9" s="4"/>
      <c r="Z9" s="4"/>
      <c r="AA9" s="3"/>
      <c r="AB9" s="4"/>
      <c r="AC9" s="4"/>
      <c r="AD9" s="4"/>
      <c r="AE9" s="4"/>
      <c r="AF9" s="4"/>
      <c r="AG9" s="4"/>
      <c r="AH9" s="6"/>
    </row>
    <row r="10" spans="1:34" x14ac:dyDescent="0.25">
      <c r="A10" t="s">
        <v>1</v>
      </c>
      <c r="C10" s="12">
        <f>BIN2DEC(C11&amp;D11&amp;E11&amp;F11&amp;G11&amp;H11&amp;I11&amp;J11)</f>
        <v>192</v>
      </c>
      <c r="D10" s="13"/>
      <c r="E10" s="13"/>
      <c r="F10" s="13"/>
      <c r="G10" s="13"/>
      <c r="H10" s="13"/>
      <c r="I10" s="13"/>
      <c r="J10" s="13"/>
      <c r="K10" s="12">
        <f t="shared" ref="K10" si="0">BIN2DEC(K11&amp;L11&amp;M11&amp;N11&amp;O11&amp;P11&amp;Q11&amp;R11)</f>
        <v>168</v>
      </c>
      <c r="L10" s="13"/>
      <c r="M10" s="13"/>
      <c r="N10" s="13"/>
      <c r="O10" s="13"/>
      <c r="P10" s="13"/>
      <c r="Q10" s="13"/>
      <c r="R10" s="13"/>
      <c r="S10" s="12">
        <f t="shared" ref="S10" si="1">BIN2DEC(S11&amp;T11&amp;U11&amp;V11&amp;W11&amp;X11&amp;Y11&amp;Z11)</f>
        <v>0</v>
      </c>
      <c r="T10" s="13"/>
      <c r="U10" s="13"/>
      <c r="V10" s="13"/>
      <c r="W10" s="13"/>
      <c r="X10" s="13"/>
      <c r="Y10" s="13"/>
      <c r="Z10" s="13"/>
      <c r="AA10" s="12">
        <f t="shared" ref="AA10" si="2">BIN2DEC(AA11&amp;AB11&amp;AC11&amp;AD11&amp;AE11&amp;AF11&amp;AG11&amp;AH11)</f>
        <v>0</v>
      </c>
      <c r="AB10" s="13"/>
      <c r="AC10" s="13"/>
      <c r="AD10" s="13"/>
      <c r="AE10" s="13"/>
      <c r="AF10" s="13"/>
      <c r="AG10" s="13"/>
      <c r="AH10" s="14"/>
    </row>
    <row r="11" spans="1:34" x14ac:dyDescent="0.25">
      <c r="C11" s="3">
        <f>INT(AND(INT(C5)=1,INT(C8)=1))</f>
        <v>1</v>
      </c>
      <c r="D11" s="4">
        <f t="shared" ref="D11:AH11" si="3">INT(AND(INT(D5)=1,INT(D8)=1))</f>
        <v>1</v>
      </c>
      <c r="E11" s="4">
        <f t="shared" si="3"/>
        <v>0</v>
      </c>
      <c r="F11" s="4">
        <f t="shared" si="3"/>
        <v>0</v>
      </c>
      <c r="G11" s="4">
        <f t="shared" si="3"/>
        <v>0</v>
      </c>
      <c r="H11" s="4">
        <f t="shared" si="3"/>
        <v>0</v>
      </c>
      <c r="I11" s="4">
        <f t="shared" si="3"/>
        <v>0</v>
      </c>
      <c r="J11" s="4">
        <f t="shared" si="3"/>
        <v>0</v>
      </c>
      <c r="K11" s="3">
        <f t="shared" si="3"/>
        <v>1</v>
      </c>
      <c r="L11" s="4">
        <f t="shared" si="3"/>
        <v>0</v>
      </c>
      <c r="M11" s="4">
        <f t="shared" si="3"/>
        <v>1</v>
      </c>
      <c r="N11" s="4">
        <f t="shared" si="3"/>
        <v>0</v>
      </c>
      <c r="O11" s="4">
        <f t="shared" si="3"/>
        <v>1</v>
      </c>
      <c r="P11" s="4">
        <f t="shared" si="3"/>
        <v>0</v>
      </c>
      <c r="Q11" s="4">
        <f t="shared" si="3"/>
        <v>0</v>
      </c>
      <c r="R11" s="4">
        <f t="shared" si="3"/>
        <v>0</v>
      </c>
      <c r="S11" s="3">
        <f t="shared" si="3"/>
        <v>0</v>
      </c>
      <c r="T11" s="4">
        <f t="shared" si="3"/>
        <v>0</v>
      </c>
      <c r="U11" s="4">
        <f t="shared" si="3"/>
        <v>0</v>
      </c>
      <c r="V11" s="4">
        <f t="shared" si="3"/>
        <v>0</v>
      </c>
      <c r="W11" s="4">
        <f t="shared" si="3"/>
        <v>0</v>
      </c>
      <c r="X11" s="4">
        <f t="shared" si="3"/>
        <v>0</v>
      </c>
      <c r="Y11" s="4">
        <f t="shared" si="3"/>
        <v>0</v>
      </c>
      <c r="Z11" s="4">
        <f t="shared" si="3"/>
        <v>0</v>
      </c>
      <c r="AA11" s="3">
        <f t="shared" si="3"/>
        <v>0</v>
      </c>
      <c r="AB11" s="4">
        <f t="shared" si="3"/>
        <v>0</v>
      </c>
      <c r="AC11" s="4">
        <f t="shared" si="3"/>
        <v>0</v>
      </c>
      <c r="AD11" s="4">
        <f t="shared" si="3"/>
        <v>0</v>
      </c>
      <c r="AE11" s="4">
        <f t="shared" si="3"/>
        <v>0</v>
      </c>
      <c r="AF11" s="4">
        <f t="shared" si="3"/>
        <v>0</v>
      </c>
      <c r="AG11" s="4">
        <f t="shared" si="3"/>
        <v>0</v>
      </c>
      <c r="AH11" s="6">
        <f t="shared" si="3"/>
        <v>0</v>
      </c>
    </row>
    <row r="12" spans="1:34" x14ac:dyDescent="0.25">
      <c r="AA12" s="4"/>
      <c r="AB12" s="4"/>
      <c r="AC12" s="4"/>
      <c r="AD12" s="4"/>
      <c r="AE12" s="4"/>
      <c r="AF12" s="4"/>
      <c r="AG12" s="4"/>
      <c r="AH12" s="6"/>
    </row>
    <row r="13" spans="1:34" x14ac:dyDescent="0.25">
      <c r="A13" t="s">
        <v>2</v>
      </c>
      <c r="C13" s="12">
        <f>BIN2DEC(C14&amp;D14&amp;E14&amp;F14&amp;G14&amp;H14&amp;I14&amp;J14)</f>
        <v>192</v>
      </c>
      <c r="D13" s="13"/>
      <c r="E13" s="13"/>
      <c r="F13" s="13"/>
      <c r="G13" s="13"/>
      <c r="H13" s="13"/>
      <c r="I13" s="13"/>
      <c r="J13" s="13"/>
      <c r="K13" s="12">
        <f t="shared" ref="K13" si="4">BIN2DEC(K14&amp;L14&amp;M14&amp;N14&amp;O14&amp;P14&amp;Q14&amp;R14)</f>
        <v>168</v>
      </c>
      <c r="L13" s="13"/>
      <c r="M13" s="13"/>
      <c r="N13" s="13"/>
      <c r="O13" s="13"/>
      <c r="P13" s="13"/>
      <c r="Q13" s="13"/>
      <c r="R13" s="13"/>
      <c r="S13" s="12">
        <f t="shared" ref="S13" si="5">BIN2DEC(S14&amp;T14&amp;U14&amp;V14&amp;W14&amp;X14&amp;Y14&amp;Z14)</f>
        <v>255</v>
      </c>
      <c r="T13" s="13"/>
      <c r="U13" s="13"/>
      <c r="V13" s="13"/>
      <c r="W13" s="13"/>
      <c r="X13" s="13"/>
      <c r="Y13" s="13"/>
      <c r="Z13" s="13"/>
      <c r="AA13" s="12">
        <f t="shared" ref="AA13" si="6">BIN2DEC(AA14&amp;AB14&amp;AC14&amp;AD14&amp;AE14&amp;AF14&amp;AG14&amp;AH14)</f>
        <v>255</v>
      </c>
      <c r="AB13" s="13"/>
      <c r="AC13" s="13"/>
      <c r="AD13" s="13"/>
      <c r="AE13" s="13"/>
      <c r="AF13" s="13"/>
      <c r="AG13" s="13"/>
      <c r="AH13" s="14"/>
    </row>
    <row r="14" spans="1:34" x14ac:dyDescent="0.25">
      <c r="C14" s="1">
        <f>IF(C8=1,C11,1)</f>
        <v>1</v>
      </c>
      <c r="D14" s="2">
        <f t="shared" ref="D14:AH14" si="7">IF(D8=1,D11,1)</f>
        <v>1</v>
      </c>
      <c r="E14" s="2">
        <f t="shared" si="7"/>
        <v>0</v>
      </c>
      <c r="F14" s="2">
        <f t="shared" si="7"/>
        <v>0</v>
      </c>
      <c r="G14" s="2">
        <f t="shared" si="7"/>
        <v>0</v>
      </c>
      <c r="H14" s="2">
        <f t="shared" si="7"/>
        <v>0</v>
      </c>
      <c r="I14" s="2">
        <f t="shared" si="7"/>
        <v>0</v>
      </c>
      <c r="J14" s="2">
        <f t="shared" si="7"/>
        <v>0</v>
      </c>
      <c r="K14" s="1">
        <f t="shared" si="7"/>
        <v>1</v>
      </c>
      <c r="L14" s="2">
        <f t="shared" si="7"/>
        <v>0</v>
      </c>
      <c r="M14" s="2">
        <f t="shared" si="7"/>
        <v>1</v>
      </c>
      <c r="N14" s="2">
        <f t="shared" si="7"/>
        <v>0</v>
      </c>
      <c r="O14" s="2">
        <f t="shared" si="7"/>
        <v>1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1">
        <f t="shared" si="7"/>
        <v>1</v>
      </c>
      <c r="T14" s="2">
        <f t="shared" si="7"/>
        <v>1</v>
      </c>
      <c r="U14" s="2">
        <f t="shared" si="7"/>
        <v>1</v>
      </c>
      <c r="V14" s="2">
        <f t="shared" si="7"/>
        <v>1</v>
      </c>
      <c r="W14" s="2">
        <f t="shared" si="7"/>
        <v>1</v>
      </c>
      <c r="X14" s="2">
        <f t="shared" si="7"/>
        <v>1</v>
      </c>
      <c r="Y14" s="2">
        <f t="shared" si="7"/>
        <v>1</v>
      </c>
      <c r="Z14" s="2">
        <f t="shared" si="7"/>
        <v>1</v>
      </c>
      <c r="AA14" s="1">
        <f t="shared" si="7"/>
        <v>1</v>
      </c>
      <c r="AB14" s="2">
        <f t="shared" si="7"/>
        <v>1</v>
      </c>
      <c r="AC14" s="2">
        <f t="shared" si="7"/>
        <v>1</v>
      </c>
      <c r="AD14" s="2">
        <f t="shared" si="7"/>
        <v>1</v>
      </c>
      <c r="AE14" s="2">
        <f t="shared" si="7"/>
        <v>1</v>
      </c>
      <c r="AF14" s="2">
        <f t="shared" si="7"/>
        <v>1</v>
      </c>
      <c r="AG14" s="2">
        <f t="shared" si="7"/>
        <v>1</v>
      </c>
      <c r="AH14" s="5">
        <f t="shared" si="7"/>
        <v>1</v>
      </c>
    </row>
    <row r="18" spans="11:34" x14ac:dyDescent="0.25">
      <c r="K18" s="11">
        <v>0</v>
      </c>
      <c r="L18" s="11"/>
      <c r="M18" s="11"/>
      <c r="N18" s="11"/>
      <c r="O18" s="11"/>
      <c r="P18" s="11"/>
      <c r="Q18" s="11"/>
      <c r="R18" s="11"/>
      <c r="AA18" s="11">
        <v>128</v>
      </c>
      <c r="AB18" s="11"/>
      <c r="AC18" s="11"/>
      <c r="AD18" s="11"/>
      <c r="AE18" s="11"/>
      <c r="AF18" s="11"/>
      <c r="AG18" s="11"/>
      <c r="AH18" s="11"/>
    </row>
    <row r="19" spans="11:34" x14ac:dyDescent="0.25">
      <c r="K19" s="1">
        <f>INT(MID(DEC2BIN($K18,8),1,1))</f>
        <v>0</v>
      </c>
      <c r="L19" s="2">
        <f>INT(MID(DEC2BIN($K18,8),2,1))</f>
        <v>0</v>
      </c>
      <c r="M19" s="2">
        <f>INT(MID(DEC2BIN($K18,8),3,1))</f>
        <v>0</v>
      </c>
      <c r="N19" s="2">
        <f>INT(MID(DEC2BIN($K18,8),4,1))</f>
        <v>0</v>
      </c>
      <c r="O19" s="2">
        <f>INT(MID(DEC2BIN($K18,8),5,1))</f>
        <v>0</v>
      </c>
      <c r="P19" s="2">
        <f>INT(MID(DEC2BIN($K18,8),6,1))</f>
        <v>0</v>
      </c>
      <c r="Q19" s="2">
        <f>INT(MID(DEC2BIN($K18,8),7,1))</f>
        <v>0</v>
      </c>
      <c r="R19" s="2">
        <f>INT(MID(DEC2BIN($K18,8),8,1))</f>
        <v>0</v>
      </c>
      <c r="AA19" s="1">
        <f>INT(MID(DEC2BIN($AA18,8),1,1))</f>
        <v>1</v>
      </c>
      <c r="AB19" s="2">
        <f>INT(MID(DEC2BIN($AA18,8),2,1))</f>
        <v>0</v>
      </c>
      <c r="AC19" s="2">
        <f>INT(MID(DEC2BIN($AA18,8),3,1))</f>
        <v>0</v>
      </c>
      <c r="AD19" s="2">
        <f>INT(MID(DEC2BIN($AA18,8),4,1))</f>
        <v>0</v>
      </c>
      <c r="AE19" s="2">
        <f>INT(MID(DEC2BIN($AA18,8),5,1))</f>
        <v>0</v>
      </c>
      <c r="AF19" s="2">
        <f>INT(MID(DEC2BIN($AA18,8),6,1))</f>
        <v>0</v>
      </c>
      <c r="AG19" s="2">
        <f>INT(MID(DEC2BIN($AA18,8),7,1))</f>
        <v>0</v>
      </c>
      <c r="AH19" s="5">
        <f>INT(MID(DEC2BIN($AA18,8),8,1))</f>
        <v>0</v>
      </c>
    </row>
    <row r="20" spans="11:34" x14ac:dyDescent="0.25">
      <c r="K20" s="11">
        <v>128</v>
      </c>
      <c r="L20" s="11"/>
      <c r="M20" s="11"/>
      <c r="N20" s="11"/>
      <c r="O20" s="11"/>
      <c r="P20" s="11"/>
      <c r="Q20" s="11"/>
      <c r="R20" s="11"/>
      <c r="AA20" s="11">
        <v>64</v>
      </c>
      <c r="AB20" s="11"/>
      <c r="AC20" s="11"/>
      <c r="AD20" s="11"/>
      <c r="AE20" s="11"/>
      <c r="AF20" s="11"/>
      <c r="AG20" s="11"/>
      <c r="AH20" s="11"/>
    </row>
    <row r="21" spans="11:34" x14ac:dyDescent="0.25">
      <c r="K21" s="1">
        <f>INT(MID(DEC2BIN($K20,8),1,1))</f>
        <v>1</v>
      </c>
      <c r="L21" s="2">
        <f>INT(MID(DEC2BIN($K20,8),2,1))</f>
        <v>0</v>
      </c>
      <c r="M21" s="2">
        <f>INT(MID(DEC2BIN($K20,8),3,1))</f>
        <v>0</v>
      </c>
      <c r="N21" s="2">
        <f>INT(MID(DEC2BIN($K20,8),4,1))</f>
        <v>0</v>
      </c>
      <c r="O21" s="2">
        <f>INT(MID(DEC2BIN($K20,8),5,1))</f>
        <v>0</v>
      </c>
      <c r="P21" s="2">
        <f>INT(MID(DEC2BIN($K20,8),6,1))</f>
        <v>0</v>
      </c>
      <c r="Q21" s="2">
        <f>INT(MID(DEC2BIN($K20,8),7,1))</f>
        <v>0</v>
      </c>
      <c r="R21" s="2">
        <f>INT(MID(DEC2BIN($K20,8),8,1))</f>
        <v>0</v>
      </c>
      <c r="AA21" s="1">
        <f>INT(MID(DEC2BIN($AA20,8),1,1))</f>
        <v>0</v>
      </c>
      <c r="AB21" s="2">
        <f>INT(MID(DEC2BIN($AA20,8),2,1))</f>
        <v>1</v>
      </c>
      <c r="AC21" s="2">
        <f>INT(MID(DEC2BIN($AA20,8),3,1))</f>
        <v>0</v>
      </c>
      <c r="AD21" s="2">
        <f>INT(MID(DEC2BIN($AA20,8),4,1))</f>
        <v>0</v>
      </c>
      <c r="AE21" s="2">
        <f>INT(MID(DEC2BIN($AA20,8),5,1))</f>
        <v>0</v>
      </c>
      <c r="AF21" s="2">
        <f>INT(MID(DEC2BIN($AA20,8),6,1))</f>
        <v>0</v>
      </c>
      <c r="AG21" s="2">
        <f>INT(MID(DEC2BIN($AA20,8),7,1))</f>
        <v>0</v>
      </c>
      <c r="AH21" s="5">
        <f>INT(MID(DEC2BIN($AA20,8),8,1))</f>
        <v>0</v>
      </c>
    </row>
    <row r="22" spans="11:34" x14ac:dyDescent="0.25">
      <c r="K22" s="11">
        <v>192</v>
      </c>
      <c r="L22" s="11"/>
      <c r="M22" s="11"/>
      <c r="N22" s="11"/>
      <c r="O22" s="11"/>
      <c r="P22" s="11"/>
      <c r="Q22" s="11"/>
      <c r="R22" s="11"/>
      <c r="AA22" s="11">
        <v>32</v>
      </c>
      <c r="AB22" s="11"/>
      <c r="AC22" s="11"/>
      <c r="AD22" s="11"/>
      <c r="AE22" s="11"/>
      <c r="AF22" s="11"/>
      <c r="AG22" s="11"/>
      <c r="AH22" s="11"/>
    </row>
    <row r="23" spans="11:34" x14ac:dyDescent="0.25">
      <c r="K23" s="1">
        <f>INT(MID(DEC2BIN($K22,8),1,1))</f>
        <v>1</v>
      </c>
      <c r="L23" s="2">
        <f>INT(MID(DEC2BIN($K22,8),2,1))</f>
        <v>1</v>
      </c>
      <c r="M23" s="2">
        <f>INT(MID(DEC2BIN($K22,8),3,1))</f>
        <v>0</v>
      </c>
      <c r="N23" s="2">
        <f>INT(MID(DEC2BIN($K22,8),4,1))</f>
        <v>0</v>
      </c>
      <c r="O23" s="2">
        <f>INT(MID(DEC2BIN($K22,8),5,1))</f>
        <v>0</v>
      </c>
      <c r="P23" s="2">
        <f>INT(MID(DEC2BIN($K22,8),6,1))</f>
        <v>0</v>
      </c>
      <c r="Q23" s="2">
        <f>INT(MID(DEC2BIN($K22,8),7,1))</f>
        <v>0</v>
      </c>
      <c r="R23" s="2">
        <f>INT(MID(DEC2BIN($K22,8),8,1))</f>
        <v>0</v>
      </c>
      <c r="AA23" s="1">
        <f>INT(MID(DEC2BIN($AA22,8),1,1))</f>
        <v>0</v>
      </c>
      <c r="AB23" s="2">
        <f>INT(MID(DEC2BIN($AA22,8),2,1))</f>
        <v>0</v>
      </c>
      <c r="AC23" s="2">
        <f>INT(MID(DEC2BIN($AA22,8),3,1))</f>
        <v>1</v>
      </c>
      <c r="AD23" s="2">
        <f>INT(MID(DEC2BIN($AA22,8),4,1))</f>
        <v>0</v>
      </c>
      <c r="AE23" s="2">
        <f>INT(MID(DEC2BIN($AA22,8),5,1))</f>
        <v>0</v>
      </c>
      <c r="AF23" s="2">
        <f>INT(MID(DEC2BIN($AA22,8),6,1))</f>
        <v>0</v>
      </c>
      <c r="AG23" s="2">
        <f>INT(MID(DEC2BIN($AA22,8),7,1))</f>
        <v>0</v>
      </c>
      <c r="AH23" s="5">
        <f>INT(MID(DEC2BIN($AA22,8),8,1))</f>
        <v>0</v>
      </c>
    </row>
    <row r="24" spans="11:34" x14ac:dyDescent="0.25">
      <c r="K24" s="11">
        <v>224</v>
      </c>
      <c r="L24" s="11"/>
      <c r="M24" s="11"/>
      <c r="N24" s="11"/>
      <c r="O24" s="11"/>
      <c r="P24" s="11"/>
      <c r="Q24" s="11"/>
      <c r="R24" s="11"/>
      <c r="AA24" s="11">
        <v>16</v>
      </c>
      <c r="AB24" s="11"/>
      <c r="AC24" s="11"/>
      <c r="AD24" s="11"/>
      <c r="AE24" s="11"/>
      <c r="AF24" s="11"/>
      <c r="AG24" s="11"/>
      <c r="AH24" s="11"/>
    </row>
    <row r="25" spans="11:34" x14ac:dyDescent="0.25">
      <c r="K25" s="1">
        <f>INT(MID(DEC2BIN($K24,8),1,1))</f>
        <v>1</v>
      </c>
      <c r="L25" s="2">
        <f>INT(MID(DEC2BIN($K24,8),2,1))</f>
        <v>1</v>
      </c>
      <c r="M25" s="2">
        <f>INT(MID(DEC2BIN($K24,8),3,1))</f>
        <v>1</v>
      </c>
      <c r="N25" s="2">
        <f>INT(MID(DEC2BIN($K24,8),4,1))</f>
        <v>0</v>
      </c>
      <c r="O25" s="2">
        <f>INT(MID(DEC2BIN($K24,8),5,1))</f>
        <v>0</v>
      </c>
      <c r="P25" s="2">
        <f>INT(MID(DEC2BIN($K24,8),6,1))</f>
        <v>0</v>
      </c>
      <c r="Q25" s="2">
        <f>INT(MID(DEC2BIN($K24,8),7,1))</f>
        <v>0</v>
      </c>
      <c r="R25" s="2">
        <f>INT(MID(DEC2BIN($K24,8),8,1))</f>
        <v>0</v>
      </c>
      <c r="AA25" s="1">
        <f>INT(MID(DEC2BIN($AA24,8),1,1))</f>
        <v>0</v>
      </c>
      <c r="AB25" s="2">
        <f>INT(MID(DEC2BIN($AA24,8),2,1))</f>
        <v>0</v>
      </c>
      <c r="AC25" s="2">
        <f>INT(MID(DEC2BIN($AA24,8),3,1))</f>
        <v>0</v>
      </c>
      <c r="AD25" s="2">
        <f>INT(MID(DEC2BIN($AA24,8),4,1))</f>
        <v>1</v>
      </c>
      <c r="AE25" s="2">
        <f>INT(MID(DEC2BIN($AA24,8),5,1))</f>
        <v>0</v>
      </c>
      <c r="AF25" s="2">
        <f>INT(MID(DEC2BIN($AA24,8),6,1))</f>
        <v>0</v>
      </c>
      <c r="AG25" s="2">
        <f>INT(MID(DEC2BIN($AA24,8),7,1))</f>
        <v>0</v>
      </c>
      <c r="AH25" s="5">
        <f>INT(MID(DEC2BIN($AA24,8),8,1))</f>
        <v>0</v>
      </c>
    </row>
    <row r="26" spans="11:34" x14ac:dyDescent="0.25">
      <c r="K26" s="11">
        <v>240</v>
      </c>
      <c r="L26" s="11"/>
      <c r="M26" s="11"/>
      <c r="N26" s="11"/>
      <c r="O26" s="11"/>
      <c r="P26" s="11"/>
      <c r="Q26" s="11"/>
      <c r="R26" s="11"/>
      <c r="AA26" s="11">
        <v>8</v>
      </c>
      <c r="AB26" s="11"/>
      <c r="AC26" s="11"/>
      <c r="AD26" s="11"/>
      <c r="AE26" s="11"/>
      <c r="AF26" s="11"/>
      <c r="AG26" s="11"/>
      <c r="AH26" s="11"/>
    </row>
    <row r="27" spans="11:34" x14ac:dyDescent="0.25">
      <c r="K27" s="1">
        <f>INT(MID(DEC2BIN($K26,8),1,1))</f>
        <v>1</v>
      </c>
      <c r="L27" s="2">
        <f>INT(MID(DEC2BIN($K26,8),2,1))</f>
        <v>1</v>
      </c>
      <c r="M27" s="2">
        <f>INT(MID(DEC2BIN($K26,8),3,1))</f>
        <v>1</v>
      </c>
      <c r="N27" s="2">
        <f>INT(MID(DEC2BIN($K26,8),4,1))</f>
        <v>1</v>
      </c>
      <c r="O27" s="2">
        <f>INT(MID(DEC2BIN($K26,8),5,1))</f>
        <v>0</v>
      </c>
      <c r="P27" s="2">
        <f>INT(MID(DEC2BIN($K26,8),6,1))</f>
        <v>0</v>
      </c>
      <c r="Q27" s="2">
        <f>INT(MID(DEC2BIN($K26,8),7,1))</f>
        <v>0</v>
      </c>
      <c r="R27" s="2">
        <f>INT(MID(DEC2BIN($K26,8),8,1))</f>
        <v>0</v>
      </c>
      <c r="AA27" s="1">
        <f>INT(MID(DEC2BIN($AA26,8),1,1))</f>
        <v>0</v>
      </c>
      <c r="AB27" s="2">
        <f>INT(MID(DEC2BIN($AA26,8),2,1))</f>
        <v>0</v>
      </c>
      <c r="AC27" s="2">
        <f>INT(MID(DEC2BIN($AA26,8),3,1))</f>
        <v>0</v>
      </c>
      <c r="AD27" s="2">
        <f>INT(MID(DEC2BIN($AA26,8),4,1))</f>
        <v>0</v>
      </c>
      <c r="AE27" s="2">
        <f>INT(MID(DEC2BIN($AA26,8),5,1))</f>
        <v>1</v>
      </c>
      <c r="AF27" s="2">
        <f>INT(MID(DEC2BIN($AA26,8),6,1))</f>
        <v>0</v>
      </c>
      <c r="AG27" s="2">
        <f>INT(MID(DEC2BIN($AA26,8),7,1))</f>
        <v>0</v>
      </c>
      <c r="AH27" s="5">
        <f>INT(MID(DEC2BIN($AA26,8),8,1))</f>
        <v>0</v>
      </c>
    </row>
    <row r="28" spans="11:34" x14ac:dyDescent="0.25">
      <c r="K28" s="11">
        <v>248</v>
      </c>
      <c r="L28" s="11"/>
      <c r="M28" s="11"/>
      <c r="N28" s="11"/>
      <c r="O28" s="11"/>
      <c r="P28" s="11"/>
      <c r="Q28" s="11"/>
      <c r="R28" s="11"/>
      <c r="AA28" s="11">
        <v>4</v>
      </c>
      <c r="AB28" s="11"/>
      <c r="AC28" s="11"/>
      <c r="AD28" s="11"/>
      <c r="AE28" s="11"/>
      <c r="AF28" s="11"/>
      <c r="AG28" s="11"/>
      <c r="AH28" s="11"/>
    </row>
    <row r="29" spans="11:34" x14ac:dyDescent="0.25">
      <c r="K29" s="1">
        <f>INT(MID(DEC2BIN($K28,8),1,1))</f>
        <v>1</v>
      </c>
      <c r="L29" s="2">
        <f>INT(MID(DEC2BIN($K28,8),2,1))</f>
        <v>1</v>
      </c>
      <c r="M29" s="2">
        <f>INT(MID(DEC2BIN($K28,8),3,1))</f>
        <v>1</v>
      </c>
      <c r="N29" s="2">
        <f>INT(MID(DEC2BIN($K28,8),4,1))</f>
        <v>1</v>
      </c>
      <c r="O29" s="2">
        <f>INT(MID(DEC2BIN($K28,8),5,1))</f>
        <v>1</v>
      </c>
      <c r="P29" s="2">
        <f>INT(MID(DEC2BIN($K28,8),6,1))</f>
        <v>0</v>
      </c>
      <c r="Q29" s="2">
        <f>INT(MID(DEC2BIN($K28,8),7,1))</f>
        <v>0</v>
      </c>
      <c r="R29" s="2">
        <f>INT(MID(DEC2BIN($K28,8),8,1))</f>
        <v>0</v>
      </c>
      <c r="AA29" s="1">
        <f>INT(MID(DEC2BIN($AA28,8),1,1))</f>
        <v>0</v>
      </c>
      <c r="AB29" s="2">
        <f>INT(MID(DEC2BIN($AA28,8),2,1))</f>
        <v>0</v>
      </c>
      <c r="AC29" s="2">
        <f>INT(MID(DEC2BIN($AA28,8),3,1))</f>
        <v>0</v>
      </c>
      <c r="AD29" s="2">
        <f>INT(MID(DEC2BIN($AA28,8),4,1))</f>
        <v>0</v>
      </c>
      <c r="AE29" s="2">
        <f>INT(MID(DEC2BIN($AA28,8),5,1))</f>
        <v>0</v>
      </c>
      <c r="AF29" s="2">
        <f>INT(MID(DEC2BIN($AA28,8),6,1))</f>
        <v>1</v>
      </c>
      <c r="AG29" s="2">
        <f>INT(MID(DEC2BIN($AA28,8),7,1))</f>
        <v>0</v>
      </c>
      <c r="AH29" s="5">
        <f>INT(MID(DEC2BIN($AA28,8),8,1))</f>
        <v>0</v>
      </c>
    </row>
    <row r="30" spans="11:34" x14ac:dyDescent="0.25">
      <c r="K30" s="11">
        <v>252</v>
      </c>
      <c r="L30" s="11"/>
      <c r="M30" s="11"/>
      <c r="N30" s="11"/>
      <c r="O30" s="11"/>
      <c r="P30" s="11"/>
      <c r="Q30" s="11"/>
      <c r="R30" s="11"/>
      <c r="AA30" s="11">
        <v>2</v>
      </c>
      <c r="AB30" s="11"/>
      <c r="AC30" s="11"/>
      <c r="AD30" s="11"/>
      <c r="AE30" s="11"/>
      <c r="AF30" s="11"/>
      <c r="AG30" s="11"/>
      <c r="AH30" s="11"/>
    </row>
    <row r="31" spans="11:34" x14ac:dyDescent="0.25">
      <c r="K31" s="1">
        <f>INT(MID(DEC2BIN($K30,8),1,1))</f>
        <v>1</v>
      </c>
      <c r="L31" s="2">
        <f>INT(MID(DEC2BIN($K30,8),2,1))</f>
        <v>1</v>
      </c>
      <c r="M31" s="2">
        <f>INT(MID(DEC2BIN($K30,8),3,1))</f>
        <v>1</v>
      </c>
      <c r="N31" s="2">
        <f>INT(MID(DEC2BIN($K30,8),4,1))</f>
        <v>1</v>
      </c>
      <c r="O31" s="2">
        <f>INT(MID(DEC2BIN($K30,8),5,1))</f>
        <v>1</v>
      </c>
      <c r="P31" s="2">
        <f>INT(MID(DEC2BIN($K30,8),6,1))</f>
        <v>1</v>
      </c>
      <c r="Q31" s="2">
        <f>INT(MID(DEC2BIN($K30,8),7,1))</f>
        <v>0</v>
      </c>
      <c r="R31" s="2">
        <f>INT(MID(DEC2BIN($K30,8),8,1))</f>
        <v>0</v>
      </c>
      <c r="AA31" s="1">
        <f>INT(MID(DEC2BIN($AA30,8),1,1))</f>
        <v>0</v>
      </c>
      <c r="AB31" s="2">
        <f>INT(MID(DEC2BIN($AA30,8),2,1))</f>
        <v>0</v>
      </c>
      <c r="AC31" s="2">
        <f>INT(MID(DEC2BIN($AA30,8),3,1))</f>
        <v>0</v>
      </c>
      <c r="AD31" s="2">
        <f>INT(MID(DEC2BIN($AA30,8),4,1))</f>
        <v>0</v>
      </c>
      <c r="AE31" s="2">
        <f>INT(MID(DEC2BIN($AA30,8),5,1))</f>
        <v>0</v>
      </c>
      <c r="AF31" s="2">
        <f>INT(MID(DEC2BIN($AA30,8),6,1))</f>
        <v>0</v>
      </c>
      <c r="AG31" s="2">
        <f>INT(MID(DEC2BIN($AA30,8),7,1))</f>
        <v>1</v>
      </c>
      <c r="AH31" s="5">
        <f>INT(MID(DEC2BIN($AA30,8),8,1))</f>
        <v>0</v>
      </c>
    </row>
    <row r="32" spans="11:34" x14ac:dyDescent="0.25">
      <c r="K32" s="11">
        <v>254</v>
      </c>
      <c r="L32" s="11"/>
      <c r="M32" s="11"/>
      <c r="N32" s="11"/>
      <c r="O32" s="11"/>
      <c r="P32" s="11"/>
      <c r="Q32" s="11"/>
      <c r="R32" s="11"/>
      <c r="AA32" s="11">
        <v>1</v>
      </c>
      <c r="AB32" s="11"/>
      <c r="AC32" s="11"/>
      <c r="AD32" s="11"/>
      <c r="AE32" s="11"/>
      <c r="AF32" s="11"/>
      <c r="AG32" s="11"/>
      <c r="AH32" s="11"/>
    </row>
    <row r="33" spans="11:34" x14ac:dyDescent="0.25">
      <c r="K33" s="8">
        <f>INT(MID(DEC2BIN($K32,8),1,1))</f>
        <v>1</v>
      </c>
      <c r="L33" s="9">
        <f>INT(MID(DEC2BIN($K32,8),2,1))</f>
        <v>1</v>
      </c>
      <c r="M33" s="9">
        <f>INT(MID(DEC2BIN($K32,8),3,1))</f>
        <v>1</v>
      </c>
      <c r="N33" s="9">
        <f>INT(MID(DEC2BIN($K32,8),4,1))</f>
        <v>1</v>
      </c>
      <c r="O33" s="9">
        <f>INT(MID(DEC2BIN($K32,8),5,1))</f>
        <v>1</v>
      </c>
      <c r="P33" s="9">
        <f>INT(MID(DEC2BIN($K32,8),6,1))</f>
        <v>1</v>
      </c>
      <c r="Q33" s="9">
        <f>INT(MID(DEC2BIN($K32,8),7,1))</f>
        <v>1</v>
      </c>
      <c r="R33" s="9">
        <f>INT(MID(DEC2BIN($K32,8),8,1))</f>
        <v>0</v>
      </c>
      <c r="AA33" s="1">
        <f>INT(MID(DEC2BIN($AA32,8),1,1))</f>
        <v>0</v>
      </c>
      <c r="AB33" s="2">
        <f>INT(MID(DEC2BIN($AA32,8),2,1))</f>
        <v>0</v>
      </c>
      <c r="AC33" s="2">
        <f>INT(MID(DEC2BIN($AA32,8),3,1))</f>
        <v>0</v>
      </c>
      <c r="AD33" s="2">
        <f>INT(MID(DEC2BIN($AA32,8),4,1))</f>
        <v>0</v>
      </c>
      <c r="AE33" s="2">
        <f>INT(MID(DEC2BIN($AA32,8),5,1))</f>
        <v>0</v>
      </c>
      <c r="AF33" s="2">
        <f>INT(MID(DEC2BIN($AA32,8),6,1))</f>
        <v>0</v>
      </c>
      <c r="AG33" s="2">
        <f>INT(MID(DEC2BIN($AA32,8),7,1))</f>
        <v>0</v>
      </c>
      <c r="AH33" s="5">
        <f>INT(MID(DEC2BIN($AA32,8),8,1))</f>
        <v>1</v>
      </c>
    </row>
    <row r="34" spans="11:34" x14ac:dyDescent="0.25">
      <c r="K34" s="11">
        <v>255</v>
      </c>
      <c r="L34" s="11"/>
      <c r="M34" s="11"/>
      <c r="N34" s="11"/>
      <c r="O34" s="11"/>
      <c r="P34" s="11"/>
      <c r="Q34" s="11"/>
      <c r="R34" s="11"/>
      <c r="AA34" s="11">
        <v>0</v>
      </c>
      <c r="AB34" s="11"/>
      <c r="AC34" s="11"/>
      <c r="AD34" s="11"/>
      <c r="AE34" s="11"/>
      <c r="AF34" s="11"/>
      <c r="AG34" s="11"/>
      <c r="AH34" s="11"/>
    </row>
    <row r="35" spans="11:34" x14ac:dyDescent="0.25">
      <c r="K35" s="1">
        <f>INT(MID(DEC2BIN($K34,8),1,1))</f>
        <v>1</v>
      </c>
      <c r="L35" s="2">
        <f>INT(MID(DEC2BIN($K34,8),2,1))</f>
        <v>1</v>
      </c>
      <c r="M35" s="2">
        <f>INT(MID(DEC2BIN($K34,8),3,1))</f>
        <v>1</v>
      </c>
      <c r="N35" s="2">
        <f>INT(MID(DEC2BIN($K34,8),4,1))</f>
        <v>1</v>
      </c>
      <c r="O35" s="2">
        <f>INT(MID(DEC2BIN($K34,8),5,1))</f>
        <v>1</v>
      </c>
      <c r="P35" s="2">
        <f>INT(MID(DEC2BIN($K34,8),6,1))</f>
        <v>1</v>
      </c>
      <c r="Q35" s="2">
        <f>INT(MID(DEC2BIN($K34,8),7,1))</f>
        <v>1</v>
      </c>
      <c r="R35" s="2">
        <f>INT(MID(DEC2BIN($K34,8),8,1))</f>
        <v>1</v>
      </c>
      <c r="AA35" s="8">
        <f>INT(MID(DEC2BIN($AA34,8),1,1))</f>
        <v>0</v>
      </c>
      <c r="AB35" s="9">
        <f>INT(MID(DEC2BIN($AA34,8),2,1))</f>
        <v>0</v>
      </c>
      <c r="AC35" s="9">
        <f>INT(MID(DEC2BIN($AA34,8),3,1))</f>
        <v>0</v>
      </c>
      <c r="AD35" s="9">
        <f>INT(MID(DEC2BIN($AA34,8),4,1))</f>
        <v>0</v>
      </c>
      <c r="AE35" s="9">
        <f>INT(MID(DEC2BIN($AA34,8),5,1))</f>
        <v>0</v>
      </c>
      <c r="AF35" s="9">
        <f>INT(MID(DEC2BIN($AA34,8),6,1))</f>
        <v>0</v>
      </c>
      <c r="AG35" s="9">
        <f>INT(MID(DEC2BIN($AA34,8),7,1))</f>
        <v>0</v>
      </c>
      <c r="AH35" s="10">
        <f>INT(MID(DEC2BIN($AA34,8),8,1))</f>
        <v>0</v>
      </c>
    </row>
  </sheetData>
  <mergeCells count="34">
    <mergeCell ref="K32:R32"/>
    <mergeCell ref="AA34:AH34"/>
    <mergeCell ref="C10:J10"/>
    <mergeCell ref="K10:R10"/>
    <mergeCell ref="S10:Z10"/>
    <mergeCell ref="AA10:AH10"/>
    <mergeCell ref="C13:J13"/>
    <mergeCell ref="K13:R13"/>
    <mergeCell ref="S13:Z13"/>
    <mergeCell ref="AA13:AH13"/>
    <mergeCell ref="C4:J4"/>
    <mergeCell ref="K4:R4"/>
    <mergeCell ref="S4:Z4"/>
    <mergeCell ref="AA4:AH4"/>
    <mergeCell ref="C7:J7"/>
    <mergeCell ref="K7:R7"/>
    <mergeCell ref="S7:Z7"/>
    <mergeCell ref="AA7:AH7"/>
    <mergeCell ref="AA28:AH28"/>
    <mergeCell ref="AA30:AH30"/>
    <mergeCell ref="AA32:AH32"/>
    <mergeCell ref="K18:R18"/>
    <mergeCell ref="K20:R20"/>
    <mergeCell ref="K22:R22"/>
    <mergeCell ref="K24:R24"/>
    <mergeCell ref="K26:R26"/>
    <mergeCell ref="K28:R28"/>
    <mergeCell ref="K30:R30"/>
    <mergeCell ref="K34:R34"/>
    <mergeCell ref="AA18:AH18"/>
    <mergeCell ref="AA20:AH20"/>
    <mergeCell ref="AA22:AH22"/>
    <mergeCell ref="AA24:AH24"/>
    <mergeCell ref="AA26:AH26"/>
  </mergeCells>
  <conditionalFormatting sqref="C5:AH5 C8:AH8 C11:AH11">
    <cfRule type="cellIs" dxfId="19" priority="36" operator="equal">
      <formula>1</formula>
    </cfRule>
  </conditionalFormatting>
  <conditionalFormatting sqref="C14:AH14">
    <cfRule type="cellIs" dxfId="18" priority="35" operator="equal">
      <formula>1</formula>
    </cfRule>
  </conditionalFormatting>
  <conditionalFormatting sqref="AA19:AH19">
    <cfRule type="cellIs" dxfId="17" priority="34" operator="equal">
      <formula>1</formula>
    </cfRule>
  </conditionalFormatting>
  <conditionalFormatting sqref="AA21:AH21">
    <cfRule type="cellIs" dxfId="16" priority="33" operator="equal">
      <formula>1</formula>
    </cfRule>
  </conditionalFormatting>
  <conditionalFormatting sqref="AA23:AH23">
    <cfRule type="cellIs" dxfId="15" priority="32" operator="equal">
      <formula>1</formula>
    </cfRule>
  </conditionalFormatting>
  <conditionalFormatting sqref="AA25:AH25">
    <cfRule type="cellIs" dxfId="14" priority="31" operator="equal">
      <formula>1</formula>
    </cfRule>
  </conditionalFormatting>
  <conditionalFormatting sqref="AA27:AH27">
    <cfRule type="cellIs" dxfId="13" priority="30" operator="equal">
      <formula>1</formula>
    </cfRule>
  </conditionalFormatting>
  <conditionalFormatting sqref="AA29:AH29">
    <cfRule type="cellIs" dxfId="12" priority="29" operator="equal">
      <formula>1</formula>
    </cfRule>
  </conditionalFormatting>
  <conditionalFormatting sqref="AA31:AH31">
    <cfRule type="cellIs" dxfId="11" priority="28" operator="equal">
      <formula>1</formula>
    </cfRule>
  </conditionalFormatting>
  <conditionalFormatting sqref="AA33:AH33">
    <cfRule type="cellIs" dxfId="10" priority="27" operator="equal">
      <formula>1</formula>
    </cfRule>
  </conditionalFormatting>
  <conditionalFormatting sqref="K19:R19">
    <cfRule type="cellIs" dxfId="9" priority="10" operator="equal">
      <formula>1</formula>
    </cfRule>
  </conditionalFormatting>
  <conditionalFormatting sqref="K21:R21">
    <cfRule type="cellIs" dxfId="8" priority="9" operator="equal">
      <formula>1</formula>
    </cfRule>
  </conditionalFormatting>
  <conditionalFormatting sqref="K23:R23">
    <cfRule type="cellIs" dxfId="7" priority="8" operator="equal">
      <formula>1</formula>
    </cfRule>
  </conditionalFormatting>
  <conditionalFormatting sqref="K25:R25">
    <cfRule type="cellIs" dxfId="6" priority="7" operator="equal">
      <formula>1</formula>
    </cfRule>
  </conditionalFormatting>
  <conditionalFormatting sqref="K27:R27">
    <cfRule type="cellIs" dxfId="5" priority="6" operator="equal">
      <formula>1</formula>
    </cfRule>
  </conditionalFormatting>
  <conditionalFormatting sqref="K29:R29">
    <cfRule type="cellIs" dxfId="4" priority="5" operator="equal">
      <formula>1</formula>
    </cfRule>
  </conditionalFormatting>
  <conditionalFormatting sqref="K31:R31">
    <cfRule type="cellIs" dxfId="3" priority="4" operator="equal">
      <formula>1</formula>
    </cfRule>
  </conditionalFormatting>
  <conditionalFormatting sqref="K35:R35">
    <cfRule type="cellIs" dxfId="2" priority="3" operator="equal">
      <formula>1</formula>
    </cfRule>
  </conditionalFormatting>
  <conditionalFormatting sqref="K33:R33">
    <cfRule type="cellIs" dxfId="1" priority="2" operator="equal">
      <formula>1</formula>
    </cfRule>
  </conditionalFormatting>
  <conditionalFormatting sqref="AA35:AH35">
    <cfRule type="cellIs" dxfId="0" priority="1" operator="equal">
      <formula>1</formula>
    </cfRule>
  </conditionalFormatting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2021-12-17T00:02:40Z</dcterms:created>
  <dcterms:modified xsi:type="dcterms:W3CDTF">2022-01-07T14:34:04Z</dcterms:modified>
</cp:coreProperties>
</file>